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stoss/Downloads/"/>
    </mc:Choice>
  </mc:AlternateContent>
  <xr:revisionPtr revIDLastSave="0" documentId="8_{D3C1A4E0-6C7B-A64F-8F70-FAAF28EABB81}" xr6:coauthVersionLast="47" xr6:coauthVersionMax="47" xr10:uidLastSave="{00000000-0000-0000-0000-000000000000}"/>
  <bookViews>
    <workbookView xWindow="3080" yWindow="3760" windowWidth="25640" windowHeight="14240" xr2:uid="{18A87271-681E-F742-92E8-840E82A61B3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1" l="1"/>
  <c r="H113" i="1"/>
  <c r="D113" i="1"/>
  <c r="H109" i="1"/>
  <c r="H108" i="1"/>
  <c r="D108" i="1"/>
  <c r="H107" i="1"/>
  <c r="H106" i="1"/>
  <c r="H103" i="1"/>
  <c r="D103" i="1"/>
  <c r="H99" i="1"/>
  <c r="D99" i="1"/>
  <c r="H95" i="1"/>
  <c r="H94" i="1"/>
  <c r="D94" i="1"/>
  <c r="D91" i="1"/>
  <c r="H90" i="1"/>
  <c r="H89" i="1"/>
  <c r="H87" i="1"/>
  <c r="D86" i="1"/>
  <c r="H85" i="1"/>
  <c r="H84" i="1"/>
  <c r="H83" i="1"/>
  <c r="H82" i="1"/>
  <c r="D82" i="1"/>
  <c r="H81" i="1"/>
  <c r="H80" i="1"/>
  <c r="H78" i="1"/>
  <c r="H77" i="1"/>
  <c r="D77" i="1"/>
  <c r="H76" i="1"/>
  <c r="H75" i="1"/>
  <c r="H74" i="1"/>
  <c r="D73" i="1"/>
  <c r="H72" i="1"/>
  <c r="H71" i="1"/>
  <c r="H70" i="1"/>
  <c r="H69" i="1"/>
  <c r="D69" i="1"/>
  <c r="H68" i="1"/>
  <c r="F67" i="1"/>
  <c r="H67" i="1" s="1"/>
  <c r="H66" i="1"/>
  <c r="D65" i="1"/>
  <c r="H64" i="1"/>
  <c r="H63" i="1"/>
  <c r="H60" i="1"/>
  <c r="D60" i="1"/>
  <c r="H55" i="1"/>
  <c r="D55" i="1"/>
  <c r="H51" i="1"/>
  <c r="D51" i="1"/>
  <c r="H49" i="1"/>
  <c r="H47" i="1"/>
  <c r="D46" i="1"/>
  <c r="H45" i="1"/>
  <c r="F46" i="1" s="1"/>
  <c r="H44" i="1"/>
  <c r="H42" i="1"/>
  <c r="H41" i="1"/>
  <c r="H40" i="1"/>
  <c r="F40" i="1"/>
  <c r="H39" i="1"/>
  <c r="H37" i="1"/>
  <c r="H36" i="1"/>
  <c r="D36" i="1"/>
  <c r="H34" i="1"/>
  <c r="H32" i="1"/>
  <c r="H31" i="1"/>
  <c r="D31" i="1"/>
  <c r="H26" i="1"/>
  <c r="F27" i="1" s="1"/>
  <c r="H27" i="1" s="1"/>
  <c r="H25" i="1"/>
  <c r="H24" i="1"/>
  <c r="D24" i="1"/>
  <c r="H22" i="1"/>
  <c r="H21" i="1"/>
  <c r="H20" i="1"/>
  <c r="D20" i="1"/>
  <c r="H19" i="1"/>
  <c r="H18" i="1"/>
  <c r="A18" i="1"/>
  <c r="D19" i="1" s="1"/>
  <c r="F6" i="1"/>
  <c r="D6" i="1"/>
  <c r="G4" i="1"/>
  <c r="A19" i="1" l="1"/>
  <c r="A20" i="1" s="1"/>
  <c r="A21" i="1" s="1"/>
  <c r="A22" i="1" s="1"/>
  <c r="A23" i="1" l="1"/>
  <c r="A24" i="1" s="1"/>
  <c r="A25" i="1" s="1"/>
  <c r="A26" i="1" s="1"/>
  <c r="D23" i="1"/>
  <c r="D27" i="1" l="1"/>
  <c r="A27" i="1"/>
  <c r="A29" i="1" s="1"/>
  <c r="D30" i="1" l="1"/>
  <c r="A30" i="1"/>
  <c r="A31" i="1" s="1"/>
  <c r="A32" i="1" s="1"/>
  <c r="A34" i="1" s="1"/>
  <c r="A35" i="1" l="1"/>
  <c r="A36" i="1" s="1"/>
  <c r="A37" i="1" s="1"/>
  <c r="A39" i="1" s="1"/>
  <c r="D35" i="1"/>
  <c r="A40" i="1" l="1"/>
  <c r="A41" i="1" s="1"/>
  <c r="A42" i="1" s="1"/>
  <c r="A44" i="1" s="1"/>
  <c r="D40" i="1"/>
  <c r="D45" i="1" l="1"/>
  <c r="A45" i="1"/>
  <c r="A46" i="1" s="1"/>
  <c r="A47" i="1" s="1"/>
  <c r="A49" i="1" s="1"/>
  <c r="D50" i="1" l="1"/>
  <c r="A50" i="1"/>
  <c r="A51" i="1" s="1"/>
  <c r="D52" i="1" l="1"/>
  <c r="A52" i="1"/>
  <c r="A53" i="1" s="1"/>
  <c r="D54" i="1" l="1"/>
  <c r="A54" i="1"/>
  <c r="A55" i="1" s="1"/>
  <c r="D56" i="1" l="1"/>
  <c r="A56" i="1"/>
  <c r="A58" i="1" s="1"/>
  <c r="A59" i="1" s="1"/>
  <c r="A60" i="1" s="1"/>
  <c r="D61" i="1" l="1"/>
  <c r="A61" i="1"/>
  <c r="A63" i="1" s="1"/>
  <c r="A64" i="1" l="1"/>
  <c r="A65" i="1" s="1"/>
  <c r="A66" i="1" s="1"/>
  <c r="A67" i="1" s="1"/>
  <c r="D64" i="1"/>
  <c r="D68" i="1" l="1"/>
  <c r="A68" i="1"/>
  <c r="A69" i="1" s="1"/>
  <c r="A70" i="1" s="1"/>
  <c r="A71" i="1" s="1"/>
  <c r="D72" i="1" l="1"/>
  <c r="A72" i="1"/>
  <c r="A73" i="1" s="1"/>
  <c r="A74" i="1" s="1"/>
  <c r="A75" i="1" s="1"/>
  <c r="D76" i="1" l="1"/>
  <c r="A76" i="1"/>
  <c r="A77" i="1" s="1"/>
  <c r="A78" i="1" s="1"/>
  <c r="A80" i="1" s="1"/>
  <c r="D81" i="1" l="1"/>
  <c r="A81" i="1"/>
  <c r="A82" i="1" s="1"/>
  <c r="A83" i="1" s="1"/>
  <c r="A84" i="1" s="1"/>
  <c r="D85" i="1" l="1"/>
  <c r="A85" i="1"/>
  <c r="A86" i="1" s="1"/>
  <c r="A87" i="1" s="1"/>
  <c r="A89" i="1" s="1"/>
  <c r="D90" i="1" l="1"/>
  <c r="A90" i="1"/>
  <c r="A91" i="1" s="1"/>
  <c r="A92" i="1" s="1"/>
  <c r="A94" i="1" s="1"/>
  <c r="A95" i="1" s="1"/>
  <c r="A97" i="1" s="1"/>
  <c r="D98" i="1" l="1"/>
  <c r="A98" i="1"/>
  <c r="A99" i="1" s="1"/>
  <c r="A100" i="1" s="1"/>
  <c r="A101" i="1" s="1"/>
  <c r="D102" i="1" l="1"/>
  <c r="A102" i="1"/>
  <c r="A103" i="1" s="1"/>
  <c r="A104" i="1" s="1"/>
  <c r="A106" i="1" s="1"/>
  <c r="D107" i="1" l="1"/>
  <c r="A107" i="1"/>
  <c r="A108" i="1" s="1"/>
  <c r="A109" i="1" s="1"/>
  <c r="A111" i="1" s="1"/>
  <c r="D112" i="1" l="1"/>
  <c r="A112" i="1"/>
  <c r="A113" i="1" s="1"/>
  <c r="A114" i="1" s="1"/>
</calcChain>
</file>

<file path=xl/sharedStrings.xml><?xml version="1.0" encoding="utf-8"?>
<sst xmlns="http://schemas.openxmlformats.org/spreadsheetml/2006/main" count="120" uniqueCount="120">
  <si>
    <t>ID</t>
  </si>
  <si>
    <t>TÂCHE</t>
  </si>
  <si>
    <t>AVANCEMENT</t>
  </si>
  <si>
    <t>DÉBUT</t>
  </si>
  <si>
    <t>nb jours</t>
  </si>
  <si>
    <t>DEADLINE</t>
  </si>
  <si>
    <t>FINI</t>
  </si>
  <si>
    <t>Macro</t>
  </si>
  <si>
    <t>Contractualisation déménageurs</t>
  </si>
  <si>
    <t>Inventaire par les écoles</t>
  </si>
  <si>
    <t>Vérification des volumes par Bedel</t>
  </si>
  <si>
    <t>Achat mobilier</t>
  </si>
  <si>
    <t>Suivi des travaux</t>
  </si>
  <si>
    <t>Impasse Nationale</t>
  </si>
  <si>
    <t>20 rue Bellevue</t>
  </si>
  <si>
    <t>1 cité Griset</t>
  </si>
  <si>
    <t>13 rue Vauquelin</t>
  </si>
  <si>
    <t>5 rue Dupin</t>
  </si>
  <si>
    <t>81 avenue de la republique</t>
  </si>
  <si>
    <t>bd Arago</t>
  </si>
  <si>
    <t>Centaure</t>
  </si>
  <si>
    <t>Lisaa Graphisme</t>
  </si>
  <si>
    <t>Vauquelin ---&gt; Nationale : Fin des cours</t>
  </si>
  <si>
    <t>Vauquelin ---&gt; Nationale :  Déménagement</t>
  </si>
  <si>
    <t>Vauquelin ---&gt; Nationale :  Aménagement</t>
  </si>
  <si>
    <t>Vauquelin ---&gt; Nationale :  Rentrée</t>
  </si>
  <si>
    <t>Arago ---&gt; Nationale : Fin des cours</t>
  </si>
  <si>
    <t>Arago ---&gt; Nationale : Déménagement</t>
  </si>
  <si>
    <t>Arago ---&gt; Nationale : Aménagement</t>
  </si>
  <si>
    <t>Arago ---&gt; Nationale : Rentrée</t>
  </si>
  <si>
    <t>Champ Alouette --&gt; reduc salle : Fin des cours</t>
  </si>
  <si>
    <t>Champ Alouette --&gt; reduc salle : Evacuation salles</t>
  </si>
  <si>
    <t>Lisaa Mode</t>
  </si>
  <si>
    <t>Laromiguère --&gt; Arago : Fin des cours</t>
  </si>
  <si>
    <t>Laromiguère --&gt; Arago : Déménagement</t>
  </si>
  <si>
    <t>Laromiguère --&gt; Arago : Aménagement</t>
  </si>
  <si>
    <t>Laromiguère --&gt; Arago : Rentrée</t>
  </si>
  <si>
    <t>Lisaa Archi</t>
  </si>
  <si>
    <t>Broca --&gt; Arago : Fin des cours</t>
  </si>
  <si>
    <t>Broca --&gt; Arago : Déménagement</t>
  </si>
  <si>
    <t>Broca --&gt; Arago : Aménagement</t>
  </si>
  <si>
    <t>Broca --&gt; Arago : Rentrée</t>
  </si>
  <si>
    <t>Lisaa Animation</t>
  </si>
  <si>
    <t>Didot ---&gt;Champ Alouette : Fin des cours</t>
  </si>
  <si>
    <t>Didot ---&gt;Champ Alouette : Déménagement</t>
  </si>
  <si>
    <t>Didot ---&gt;Champ Alouette : Aménagement</t>
  </si>
  <si>
    <t>Didot ---&gt;Champ Alouette : Rentrée</t>
  </si>
  <si>
    <t>CIFAP</t>
  </si>
  <si>
    <t>Progres Montreuil --&gt; Bellevue : Fin des cours</t>
  </si>
  <si>
    <t>Progres Montreuil --&gt; Bellevue : Déménagement</t>
  </si>
  <si>
    <t>Progres Montreuil --&gt; Bellevue : Aménagement</t>
  </si>
  <si>
    <t>Progres Montreuil --&gt; Bellevue : Rentrée</t>
  </si>
  <si>
    <t>ACS</t>
  </si>
  <si>
    <t>Bellevue ---&gt; Griset : Fin des cours</t>
  </si>
  <si>
    <t>Bellevue ---&gt; Griset : Déménagement</t>
  </si>
  <si>
    <t>Bellevue ---&gt; Griset : Aménagement</t>
  </si>
  <si>
    <t>Bellevue ---&gt; Griset : Rentrée</t>
  </si>
  <si>
    <t>10Gambet ---&gt; Griset : Fin des cours</t>
  </si>
  <si>
    <t>10Gambet ---&gt; Griset : Déménagement</t>
  </si>
  <si>
    <t>10Gambet ---&gt; Griset : Aménagement</t>
  </si>
  <si>
    <t>10Gambet ---&gt; Griset : Rentrée</t>
  </si>
  <si>
    <t>PSTB</t>
  </si>
  <si>
    <t>Chanzy ---&gt; Griset : Fin des cours</t>
  </si>
  <si>
    <t>Chanzy ---&gt; Griset : Extension</t>
  </si>
  <si>
    <t>Chanzy ---&gt; Griset : Aménagement</t>
  </si>
  <si>
    <t>Chanzy ---&gt; Griset : Rentrée</t>
  </si>
  <si>
    <t>IESA</t>
  </si>
  <si>
    <t>Griset --&gt; Centaure : Fin des cours</t>
  </si>
  <si>
    <t>Griset --&gt; Centaure : Déménagement</t>
  </si>
  <si>
    <t>Griset --&gt; Centaure : Aménagement</t>
  </si>
  <si>
    <t>Griset --&gt; Centaure : Rentrée</t>
  </si>
  <si>
    <t>Griset --&gt; Vauquelin : Fin des cours</t>
  </si>
  <si>
    <t>Griset --&gt; Vauquelin : Déménagement</t>
  </si>
  <si>
    <t>Griset --&gt; Vauquelin : Aménagement</t>
  </si>
  <si>
    <t>Griset --&gt; Vauquelin : Rentrée</t>
  </si>
  <si>
    <t>Pierre levée --&gt; Centaure : Fin des cours</t>
  </si>
  <si>
    <t>Pierre levée --&gt; Centaure : Déménagement</t>
  </si>
  <si>
    <t>Pierre levée --&gt; Centaure : Aménagement</t>
  </si>
  <si>
    <t>Pierre levée --&gt; Centaure : Rentrée</t>
  </si>
  <si>
    <t>Pierre levée --&gt; Vauquelin : Fin des cours</t>
  </si>
  <si>
    <t>Pierre levée --&gt; Vauquelin : Déménagement</t>
  </si>
  <si>
    <t>Pierre levée --&gt; Vauquelin : Aménagement</t>
  </si>
  <si>
    <t>Pierre levée --&gt; Vauquelin : Rentrée</t>
  </si>
  <si>
    <t>ADS</t>
  </si>
  <si>
    <t>Lecourbe ---&gt; Dupin : Fin des cours</t>
  </si>
  <si>
    <t>Lecourbe ---&gt; Dupin : Déménagement</t>
  </si>
  <si>
    <t>Lecourbe ---&gt; Dupin : Aménagement</t>
  </si>
  <si>
    <t>Lecourbe ---&gt; Dupin : Rentrée</t>
  </si>
  <si>
    <t>Lefrance ---&gt; Centaure : Fin des cours</t>
  </si>
  <si>
    <t>Lefrance ---&gt; Centaure : Déménagement</t>
  </si>
  <si>
    <t>Lefrance ---&gt; Centaure : Aménagement</t>
  </si>
  <si>
    <t>Lefrance ---&gt; Centaure : Rentrée</t>
  </si>
  <si>
    <t>Penninghen</t>
  </si>
  <si>
    <t>Dupin --&gt; Centaure : Fin des cours</t>
  </si>
  <si>
    <t>Dupin --&gt; Centaure : Déménagement</t>
  </si>
  <si>
    <t>Dupin --&gt; Centaure : Aménagement</t>
  </si>
  <si>
    <t>Dupin --&gt; Centaure : Rentrée</t>
  </si>
  <si>
    <t>Cours Florent</t>
  </si>
  <si>
    <t>Extension --&gt; Centaure : Aménagement</t>
  </si>
  <si>
    <t>Extension --&gt; Centaure : Rentrée</t>
  </si>
  <si>
    <t>PSB</t>
  </si>
  <si>
    <t>Nationale --&gt; Centaure : Fin des cours</t>
  </si>
  <si>
    <t>Nationale --&gt; Centaure : Déménagement</t>
  </si>
  <si>
    <t>Nationale --&gt; Centaure : Aménagement</t>
  </si>
  <si>
    <t>Nationale --&gt; Centaure : Rentrée</t>
  </si>
  <si>
    <t>Nationale --&gt; Arago : Fin des cours</t>
  </si>
  <si>
    <t>Nationale --&gt; Arago : Déménagement</t>
  </si>
  <si>
    <t>Nationale --&gt; Arago : Aménagement</t>
  </si>
  <si>
    <t>Nationale --&gt; Arago : Rentrée</t>
  </si>
  <si>
    <t>Naratiiv</t>
  </si>
  <si>
    <t>Impasse Nationale ---&gt; ARO : Fin des cours</t>
  </si>
  <si>
    <t>Impasse Nationale ---&gt; ARO : Déménagement</t>
  </si>
  <si>
    <t>Impasse Nationale ---&gt; ARO : Aménagement</t>
  </si>
  <si>
    <t>Impasse Nationale ---&gt; ARO : Rentrée</t>
  </si>
  <si>
    <t>ESG CI</t>
  </si>
  <si>
    <t>Extension ---&gt; ARO : Fin des cours</t>
  </si>
  <si>
    <t>Extension ---&gt; ARO : Déménagement</t>
  </si>
  <si>
    <t>Extension ---&gt; ARO : Aménagement</t>
  </si>
  <si>
    <t>Extension ---&gt; ARO : Rentrée</t>
  </si>
  <si>
    <t>Lié 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</si>
</sst>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0"/>
      <name val="Aptos Narrow"/>
    </font>
    <font>
      <sz val="11"/>
      <color theme="0"/>
      <name val="Aptos Narrow"/>
      <family val="2"/>
      <scheme val="minor"/>
    </font>
    <font>
      <sz val="11"/>
      <color theme="0"/>
      <name val="Aptos Narrow"/>
    </font>
    <font>
      <sz val="11"/>
      <color theme="1"/>
      <name val="Aptos Narrow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1" tint="0.34998626667073579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6" fillId="0" borderId="2" applyFill="0">
      <alignment horizontal="center" vertical="center"/>
    </xf>
    <xf numFmtId="0" fontId="6" fillId="0" borderId="2" applyFill="0">
      <alignment horizontal="left" vertical="center" indent="2"/>
    </xf>
    <xf numFmtId="164" fontId="6" fillId="0" borderId="2" applyFill="0">
      <alignment horizontal="center" vertical="center"/>
    </xf>
  </cellStyleXfs>
  <cellXfs count="37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2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3" borderId="2" xfId="3" applyFont="1" applyFill="1">
      <alignment horizontal="center" vertical="center"/>
    </xf>
    <xf numFmtId="0" fontId="7" fillId="3" borderId="2" xfId="0" applyFont="1" applyFill="1" applyBorder="1" applyAlignment="1">
      <alignment horizontal="left" vertical="center" indent="1"/>
    </xf>
    <xf numFmtId="9" fontId="8" fillId="3" borderId="2" xfId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5" fillId="4" borderId="2" xfId="3" applyFont="1" applyFill="1">
      <alignment horizontal="center" vertical="center"/>
    </xf>
    <xf numFmtId="0" fontId="5" fillId="4" borderId="2" xfId="4" applyFont="1" applyFill="1">
      <alignment horizontal="left" vertical="center" indent="2"/>
    </xf>
    <xf numFmtId="9" fontId="8" fillId="4" borderId="2" xfId="1" applyFont="1" applyFill="1" applyBorder="1" applyAlignment="1">
      <alignment horizontal="center" vertical="center"/>
    </xf>
    <xf numFmtId="164" fontId="5" fillId="4" borderId="2" xfId="5" applyFont="1" applyFill="1">
      <alignment horizontal="center" vertical="center"/>
    </xf>
    <xf numFmtId="0" fontId="5" fillId="5" borderId="2" xfId="3" applyFont="1" applyFill="1">
      <alignment horizontal="center" vertical="center"/>
    </xf>
    <xf numFmtId="0" fontId="7" fillId="5" borderId="2" xfId="0" applyFont="1" applyFill="1" applyBorder="1" applyAlignment="1">
      <alignment horizontal="left" vertical="center" indent="1"/>
    </xf>
    <xf numFmtId="9" fontId="8" fillId="5" borderId="2" xfId="1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0" fontId="5" fillId="6" borderId="2" xfId="3" applyFont="1" applyFill="1">
      <alignment horizontal="center" vertical="center"/>
    </xf>
    <xf numFmtId="0" fontId="5" fillId="6" borderId="2" xfId="4" applyFont="1" applyFill="1">
      <alignment horizontal="left" vertical="center" indent="2"/>
    </xf>
    <xf numFmtId="9" fontId="8" fillId="6" borderId="2" xfId="1" applyFont="1" applyFill="1" applyBorder="1" applyAlignment="1">
      <alignment horizontal="center" vertical="center"/>
    </xf>
    <xf numFmtId="164" fontId="5" fillId="6" borderId="2" xfId="5" applyFont="1" applyFill="1">
      <alignment horizontal="center" vertical="center"/>
    </xf>
    <xf numFmtId="0" fontId="5" fillId="7" borderId="2" xfId="3" applyFont="1" applyFill="1">
      <alignment horizontal="center" vertical="center"/>
    </xf>
    <xf numFmtId="0" fontId="7" fillId="7" borderId="2" xfId="0" applyFont="1" applyFill="1" applyBorder="1" applyAlignment="1">
      <alignment horizontal="left" vertical="center" indent="1"/>
    </xf>
    <xf numFmtId="9" fontId="8" fillId="7" borderId="2" xfId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0" fontId="5" fillId="8" borderId="2" xfId="3" applyFont="1" applyFill="1">
      <alignment horizontal="center" vertical="center"/>
    </xf>
    <xf numFmtId="0" fontId="5" fillId="8" borderId="2" xfId="4" applyFont="1" applyFill="1">
      <alignment horizontal="left" vertical="center" indent="2"/>
    </xf>
    <xf numFmtId="9" fontId="8" fillId="8" borderId="2" xfId="1" applyFont="1" applyFill="1" applyBorder="1" applyAlignment="1">
      <alignment horizontal="center" vertical="center"/>
    </xf>
    <xf numFmtId="164" fontId="5" fillId="8" borderId="2" xfId="5" applyFont="1" applyFill="1">
      <alignment horizontal="center" vertical="center"/>
    </xf>
    <xf numFmtId="164" fontId="5" fillId="9" borderId="2" xfId="5" applyFont="1" applyFill="1">
      <alignment horizontal="center" vertical="center"/>
    </xf>
    <xf numFmtId="0" fontId="5" fillId="9" borderId="2" xfId="3" applyFont="1" applyFill="1">
      <alignment horizontal="center" vertical="center"/>
    </xf>
    <xf numFmtId="164" fontId="5" fillId="10" borderId="2" xfId="5" applyFont="1" applyFill="1">
      <alignment horizontal="center" vertical="center"/>
    </xf>
    <xf numFmtId="0" fontId="5" fillId="10" borderId="2" xfId="3" applyFont="1" applyFill="1">
      <alignment horizontal="center" vertical="center"/>
    </xf>
  </cellXfs>
  <cellStyles count="6">
    <cellStyle name="Date" xfId="5" xr:uid="{D7A8624C-80B3-3841-B2C1-432A1EA661B5}"/>
    <cellStyle name="Nom" xfId="3" xr:uid="{EDB3F0F6-1C07-E741-B318-421D3F42597E}"/>
    <cellStyle name="Normal" xfId="0" builtinId="0"/>
    <cellStyle name="Pourcentage" xfId="1" builtinId="5"/>
    <cellStyle name="Tâche" xfId="4" xr:uid="{2E0A4E89-FDD4-FC46-98CC-E71DF7EAFFDA}"/>
    <cellStyle name="zTexteMasqué" xfId="2" xr:uid="{7427D381-8C76-494D-B0A4-CB79A5544CBF}"/>
  </cellStyles>
  <dxfs count="1">
    <dxf>
      <fill>
        <patternFill patternType="solid">
          <fgColor auto="1"/>
          <b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32C9-BA19-C944-9625-8B492E809557}">
  <dimension ref="A1:I114"/>
  <sheetViews>
    <sheetView tabSelected="1" workbookViewId="0">
      <selection activeCell="D7" sqref="D7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2"/>
      <c r="D1" s="2" t="s">
        <v>119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ht="17" thickBot="1" x14ac:dyDescent="0.25">
      <c r="A2" s="3"/>
      <c r="B2" s="4"/>
      <c r="C2" s="5"/>
      <c r="D2" s="5"/>
      <c r="E2" s="4"/>
      <c r="F2" s="4"/>
      <c r="G2" s="4"/>
      <c r="H2" s="4"/>
      <c r="I2" s="4"/>
    </row>
    <row r="3" spans="1:9" ht="17" thickBot="1" x14ac:dyDescent="0.25">
      <c r="A3" s="6"/>
      <c r="B3" s="7" t="s">
        <v>7</v>
      </c>
      <c r="C3" s="6"/>
      <c r="D3" s="6"/>
      <c r="E3" s="8"/>
      <c r="F3" s="9"/>
      <c r="G3" s="9"/>
      <c r="H3" s="10"/>
      <c r="I3" s="10"/>
    </row>
    <row r="4" spans="1:9" ht="17" thickBot="1" x14ac:dyDescent="0.25">
      <c r="A4" s="11">
        <v>1</v>
      </c>
      <c r="B4" s="12" t="s">
        <v>8</v>
      </c>
      <c r="C4" s="11"/>
      <c r="D4" s="11"/>
      <c r="E4" s="13"/>
      <c r="F4" s="14">
        <v>45768</v>
      </c>
      <c r="G4" s="11">
        <f>H4-F4</f>
        <v>16</v>
      </c>
      <c r="H4" s="14">
        <v>45784</v>
      </c>
      <c r="I4" s="14"/>
    </row>
    <row r="5" spans="1:9" ht="17" thickBot="1" x14ac:dyDescent="0.25">
      <c r="A5" s="11">
        <v>2</v>
      </c>
      <c r="B5" s="12" t="s">
        <v>9</v>
      </c>
      <c r="C5" s="11"/>
      <c r="D5" s="11"/>
      <c r="E5" s="13"/>
      <c r="F5" s="14">
        <v>45768</v>
      </c>
      <c r="G5" s="11">
        <v>7</v>
      </c>
      <c r="H5" s="14">
        <v>45775</v>
      </c>
      <c r="I5" s="14"/>
    </row>
    <row r="6" spans="1:9" ht="17" thickBot="1" x14ac:dyDescent="0.25">
      <c r="A6" s="11">
        <v>3</v>
      </c>
      <c r="B6" s="12" t="s">
        <v>10</v>
      </c>
      <c r="C6" s="11"/>
      <c r="D6" s="11">
        <f>A4</f>
        <v>1</v>
      </c>
      <c r="E6" s="13"/>
      <c r="F6" s="14">
        <f>MIN(H4:I4)</f>
        <v>45784</v>
      </c>
      <c r="G6" s="11">
        <v>35</v>
      </c>
      <c r="H6" s="14">
        <v>45803</v>
      </c>
      <c r="I6" s="14"/>
    </row>
    <row r="7" spans="1:9" ht="17" thickBot="1" x14ac:dyDescent="0.25">
      <c r="A7" s="11">
        <v>4</v>
      </c>
      <c r="B7" s="12" t="s">
        <v>11</v>
      </c>
      <c r="C7" s="11"/>
      <c r="D7" s="11"/>
      <c r="E7" s="13"/>
      <c r="F7" s="14">
        <v>45775</v>
      </c>
      <c r="G7" s="11">
        <v>7</v>
      </c>
      <c r="H7" s="14">
        <v>45782</v>
      </c>
      <c r="I7" s="14"/>
    </row>
    <row r="8" spans="1:9" ht="17" thickBot="1" x14ac:dyDescent="0.25">
      <c r="A8" s="15"/>
      <c r="B8" s="16" t="s">
        <v>12</v>
      </c>
      <c r="C8" s="15"/>
      <c r="D8" s="15"/>
      <c r="E8" s="17"/>
      <c r="F8" s="18"/>
      <c r="G8" s="18"/>
      <c r="H8" s="19"/>
      <c r="I8" s="19"/>
    </row>
    <row r="9" spans="1:9" ht="17" thickBot="1" x14ac:dyDescent="0.25">
      <c r="A9" s="20">
        <v>5</v>
      </c>
      <c r="B9" s="21" t="s">
        <v>13</v>
      </c>
      <c r="C9" s="20"/>
      <c r="D9" s="20"/>
      <c r="E9" s="22">
        <v>0</v>
      </c>
      <c r="F9" s="23">
        <v>45839</v>
      </c>
      <c r="G9" s="20"/>
      <c r="H9" s="23">
        <v>45870</v>
      </c>
      <c r="I9" s="23"/>
    </row>
    <row r="10" spans="1:9" ht="17" thickBot="1" x14ac:dyDescent="0.25">
      <c r="A10" s="20">
        <v>6</v>
      </c>
      <c r="B10" s="21" t="s">
        <v>14</v>
      </c>
      <c r="C10" s="20"/>
      <c r="D10" s="20"/>
      <c r="E10" s="22">
        <v>0</v>
      </c>
      <c r="F10" s="23">
        <v>45839</v>
      </c>
      <c r="G10" s="20"/>
      <c r="H10" s="23">
        <v>45898</v>
      </c>
      <c r="I10" s="23"/>
    </row>
    <row r="11" spans="1:9" ht="17" thickBot="1" x14ac:dyDescent="0.25">
      <c r="A11" s="20">
        <v>7</v>
      </c>
      <c r="B11" s="21" t="s">
        <v>15</v>
      </c>
      <c r="C11" s="20"/>
      <c r="D11" s="20"/>
      <c r="E11" s="22">
        <v>0</v>
      </c>
      <c r="F11" s="23">
        <v>45853</v>
      </c>
      <c r="G11" s="20"/>
      <c r="H11" s="23">
        <v>45905</v>
      </c>
      <c r="I11" s="23"/>
    </row>
    <row r="12" spans="1:9" ht="17" thickBot="1" x14ac:dyDescent="0.25">
      <c r="A12" s="20">
        <v>8</v>
      </c>
      <c r="B12" s="21" t="s">
        <v>16</v>
      </c>
      <c r="C12" s="20"/>
      <c r="D12" s="20"/>
      <c r="E12" s="22">
        <v>0</v>
      </c>
      <c r="F12" s="23">
        <v>45824</v>
      </c>
      <c r="G12" s="20">
        <v>0</v>
      </c>
      <c r="H12" s="23">
        <v>45885</v>
      </c>
      <c r="I12" s="23"/>
    </row>
    <row r="13" spans="1:9" ht="17" thickBot="1" x14ac:dyDescent="0.25">
      <c r="A13" s="20">
        <v>9</v>
      </c>
      <c r="B13" s="21" t="s">
        <v>17</v>
      </c>
      <c r="C13" s="20"/>
      <c r="D13" s="20"/>
      <c r="E13" s="22">
        <v>0</v>
      </c>
      <c r="F13" s="23">
        <v>45840</v>
      </c>
      <c r="G13" s="20"/>
      <c r="H13" s="23">
        <v>45870</v>
      </c>
      <c r="I13" s="23"/>
    </row>
    <row r="14" spans="1:9" ht="17" thickBot="1" x14ac:dyDescent="0.25">
      <c r="A14" s="20">
        <v>10</v>
      </c>
      <c r="B14" s="21" t="s">
        <v>18</v>
      </c>
      <c r="C14" s="20"/>
      <c r="D14" s="20"/>
      <c r="E14" s="22">
        <v>0</v>
      </c>
      <c r="F14" s="23">
        <v>45839</v>
      </c>
      <c r="G14" s="20"/>
      <c r="H14" s="23">
        <v>45898</v>
      </c>
      <c r="I14" s="23"/>
    </row>
    <row r="15" spans="1:9" ht="17" thickBot="1" x14ac:dyDescent="0.25">
      <c r="A15" s="20">
        <v>11</v>
      </c>
      <c r="B15" s="21" t="s">
        <v>19</v>
      </c>
      <c r="C15" s="20"/>
      <c r="D15" s="20"/>
      <c r="E15" s="22">
        <v>0</v>
      </c>
      <c r="F15" s="23">
        <v>45859</v>
      </c>
      <c r="G15" s="20"/>
      <c r="H15" s="23">
        <v>45885</v>
      </c>
      <c r="I15" s="23"/>
    </row>
    <row r="16" spans="1:9" ht="17" thickBot="1" x14ac:dyDescent="0.25">
      <c r="A16" s="20">
        <v>12</v>
      </c>
      <c r="B16" s="21" t="s">
        <v>20</v>
      </c>
      <c r="C16" s="20"/>
      <c r="D16" s="20"/>
      <c r="E16" s="22"/>
      <c r="F16" s="23"/>
      <c r="G16" s="20"/>
      <c r="H16" s="23"/>
      <c r="I16" s="23"/>
    </row>
    <row r="17" spans="1:9" ht="17" thickBot="1" x14ac:dyDescent="0.25">
      <c r="A17" s="24"/>
      <c r="B17" s="25" t="s">
        <v>21</v>
      </c>
      <c r="C17" s="24"/>
      <c r="D17" s="24"/>
      <c r="E17" s="26"/>
      <c r="F17" s="27"/>
      <c r="G17" s="27"/>
      <c r="H17" s="28"/>
      <c r="I17" s="28"/>
    </row>
    <row r="18" spans="1:9" ht="17" thickBot="1" x14ac:dyDescent="0.25">
      <c r="A18" s="29">
        <f>A16+1</f>
        <v>13</v>
      </c>
      <c r="B18" s="30" t="s">
        <v>22</v>
      </c>
      <c r="C18" s="29"/>
      <c r="D18" s="29"/>
      <c r="E18" s="31">
        <v>1</v>
      </c>
      <c r="F18" s="32">
        <v>45814</v>
      </c>
      <c r="G18" s="29"/>
      <c r="H18" s="32">
        <f>F18</f>
        <v>45814</v>
      </c>
      <c r="I18" s="32"/>
    </row>
    <row r="19" spans="1:9" ht="17" thickBot="1" x14ac:dyDescent="0.25">
      <c r="A19" s="29">
        <f>A18+1</f>
        <v>14</v>
      </c>
      <c r="B19" s="30" t="s">
        <v>23</v>
      </c>
      <c r="C19" s="29"/>
      <c r="D19" s="29">
        <f>A18</f>
        <v>13</v>
      </c>
      <c r="E19" s="31">
        <v>0</v>
      </c>
      <c r="F19" s="32">
        <v>45817</v>
      </c>
      <c r="G19" s="29"/>
      <c r="H19" s="32">
        <f>F19+4</f>
        <v>45821</v>
      </c>
      <c r="I19" s="32"/>
    </row>
    <row r="20" spans="1:9" ht="17" thickBot="1" x14ac:dyDescent="0.25">
      <c r="A20" s="29">
        <f t="shared" ref="A20:A27" si="0">A19+1</f>
        <v>15</v>
      </c>
      <c r="B20" s="30" t="s">
        <v>24</v>
      </c>
      <c r="C20" s="29"/>
      <c r="D20" s="29">
        <f>A9</f>
        <v>5</v>
      </c>
      <c r="E20" s="31">
        <v>0</v>
      </c>
      <c r="F20" s="32">
        <v>45873</v>
      </c>
      <c r="G20" s="29"/>
      <c r="H20" s="32">
        <f>F20+4</f>
        <v>45877</v>
      </c>
      <c r="I20" s="32"/>
    </row>
    <row r="21" spans="1:9" ht="17" thickBot="1" x14ac:dyDescent="0.25">
      <c r="A21" s="29">
        <f t="shared" si="0"/>
        <v>16</v>
      </c>
      <c r="B21" s="30" t="s">
        <v>25</v>
      </c>
      <c r="C21" s="29"/>
      <c r="D21" s="29"/>
      <c r="E21" s="31">
        <v>1</v>
      </c>
      <c r="F21" s="32">
        <v>45901</v>
      </c>
      <c r="G21" s="29">
        <v>0</v>
      </c>
      <c r="H21" s="32">
        <f>F21</f>
        <v>45901</v>
      </c>
      <c r="I21" s="32"/>
    </row>
    <row r="22" spans="1:9" ht="17" thickBot="1" x14ac:dyDescent="0.25">
      <c r="A22" s="29">
        <f t="shared" si="0"/>
        <v>17</v>
      </c>
      <c r="B22" s="30" t="s">
        <v>26</v>
      </c>
      <c r="C22" s="29"/>
      <c r="D22" s="29"/>
      <c r="E22" s="31">
        <v>0</v>
      </c>
      <c r="F22" s="32">
        <v>45849</v>
      </c>
      <c r="G22" s="29"/>
      <c r="H22" s="32">
        <f>F22</f>
        <v>45849</v>
      </c>
      <c r="I22" s="32"/>
    </row>
    <row r="23" spans="1:9" ht="17" thickBot="1" x14ac:dyDescent="0.25">
      <c r="A23" s="29">
        <f t="shared" si="0"/>
        <v>18</v>
      </c>
      <c r="B23" s="30" t="s">
        <v>27</v>
      </c>
      <c r="C23" s="29"/>
      <c r="D23" s="29">
        <f>A22</f>
        <v>17</v>
      </c>
      <c r="E23" s="31">
        <v>0</v>
      </c>
      <c r="F23" s="32">
        <v>45850</v>
      </c>
      <c r="G23" s="29"/>
      <c r="H23" s="32">
        <v>45851</v>
      </c>
      <c r="I23" s="32"/>
    </row>
    <row r="24" spans="1:9" ht="17" thickBot="1" x14ac:dyDescent="0.25">
      <c r="A24" s="29">
        <f t="shared" si="0"/>
        <v>19</v>
      </c>
      <c r="B24" s="30" t="s">
        <v>28</v>
      </c>
      <c r="C24" s="29"/>
      <c r="D24" s="29">
        <f>A9</f>
        <v>5</v>
      </c>
      <c r="E24" s="31">
        <v>0</v>
      </c>
      <c r="F24" s="32">
        <v>45873</v>
      </c>
      <c r="G24" s="29"/>
      <c r="H24" s="32">
        <f>F24+4</f>
        <v>45877</v>
      </c>
      <c r="I24" s="32"/>
    </row>
    <row r="25" spans="1:9" ht="17" thickBot="1" x14ac:dyDescent="0.25">
      <c r="A25" s="29">
        <f t="shared" si="0"/>
        <v>20</v>
      </c>
      <c r="B25" s="30" t="s">
        <v>29</v>
      </c>
      <c r="C25" s="29"/>
      <c r="D25" s="29"/>
      <c r="E25" s="31">
        <v>1</v>
      </c>
      <c r="F25" s="32">
        <v>45901</v>
      </c>
      <c r="G25" s="29">
        <v>0</v>
      </c>
      <c r="H25" s="32">
        <f>F25</f>
        <v>45901</v>
      </c>
      <c r="I25" s="32"/>
    </row>
    <row r="26" spans="1:9" ht="17" thickBot="1" x14ac:dyDescent="0.25">
      <c r="A26" s="29">
        <f t="shared" si="0"/>
        <v>21</v>
      </c>
      <c r="B26" s="30" t="s">
        <v>30</v>
      </c>
      <c r="C26" s="29"/>
      <c r="D26" s="29"/>
      <c r="E26" s="31">
        <v>1</v>
      </c>
      <c r="F26" s="32">
        <v>45849</v>
      </c>
      <c r="G26" s="29"/>
      <c r="H26" s="32">
        <f>F26</f>
        <v>45849</v>
      </c>
      <c r="I26" s="32"/>
    </row>
    <row r="27" spans="1:9" ht="17" thickBot="1" x14ac:dyDescent="0.25">
      <c r="A27" s="29">
        <f t="shared" si="0"/>
        <v>22</v>
      </c>
      <c r="B27" s="30" t="s">
        <v>31</v>
      </c>
      <c r="C27" s="29"/>
      <c r="D27" s="29">
        <f>A26</f>
        <v>21</v>
      </c>
      <c r="E27" s="31"/>
      <c r="F27" s="32">
        <f>H26+2</f>
        <v>45851</v>
      </c>
      <c r="G27" s="29"/>
      <c r="H27" s="32">
        <f>F27+1</f>
        <v>45852</v>
      </c>
      <c r="I27" s="32"/>
    </row>
    <row r="28" spans="1:9" ht="17" thickBot="1" x14ac:dyDescent="0.25">
      <c r="A28" s="24"/>
      <c r="B28" s="25" t="s">
        <v>32</v>
      </c>
      <c r="C28" s="24"/>
      <c r="D28" s="24"/>
      <c r="E28" s="26"/>
      <c r="F28" s="27"/>
      <c r="G28" s="27"/>
      <c r="H28" s="28"/>
      <c r="I28" s="28"/>
    </row>
    <row r="29" spans="1:9" ht="17" thickBot="1" x14ac:dyDescent="0.25">
      <c r="A29" s="29">
        <f>A27+1</f>
        <v>23</v>
      </c>
      <c r="B29" s="30" t="s">
        <v>33</v>
      </c>
      <c r="C29" s="29"/>
      <c r="D29" s="29"/>
      <c r="E29" s="31">
        <v>0</v>
      </c>
      <c r="F29" s="32"/>
      <c r="G29" s="29"/>
      <c r="H29" s="32"/>
      <c r="I29" s="32"/>
    </row>
    <row r="30" spans="1:9" ht="17" thickBot="1" x14ac:dyDescent="0.25">
      <c r="A30" s="29">
        <f>A29+1</f>
        <v>24</v>
      </c>
      <c r="B30" s="30" t="s">
        <v>34</v>
      </c>
      <c r="C30" s="29"/>
      <c r="D30" s="29">
        <f>A29</f>
        <v>23</v>
      </c>
      <c r="E30" s="31">
        <v>0</v>
      </c>
      <c r="F30" s="32"/>
      <c r="G30" s="29"/>
      <c r="H30" s="32"/>
      <c r="I30" s="32"/>
    </row>
    <row r="31" spans="1:9" ht="17" thickBot="1" x14ac:dyDescent="0.25">
      <c r="A31" s="29">
        <f>A30+1</f>
        <v>25</v>
      </c>
      <c r="B31" s="30" t="s">
        <v>35</v>
      </c>
      <c r="C31" s="29"/>
      <c r="D31" s="29">
        <f>A15</f>
        <v>11</v>
      </c>
      <c r="E31" s="31">
        <v>0</v>
      </c>
      <c r="F31" s="32">
        <v>45894</v>
      </c>
      <c r="G31" s="29"/>
      <c r="H31" s="32">
        <f>F31+4</f>
        <v>45898</v>
      </c>
      <c r="I31" s="32"/>
    </row>
    <row r="32" spans="1:9" ht="17" thickBot="1" x14ac:dyDescent="0.25">
      <c r="A32" s="29">
        <f>A31+1</f>
        <v>26</v>
      </c>
      <c r="B32" s="30" t="s">
        <v>36</v>
      </c>
      <c r="C32" s="29"/>
      <c r="D32" s="29"/>
      <c r="E32" s="31">
        <v>1</v>
      </c>
      <c r="F32" s="32">
        <v>45901</v>
      </c>
      <c r="G32" s="29">
        <v>0</v>
      </c>
      <c r="H32" s="32">
        <f>F32</f>
        <v>45901</v>
      </c>
      <c r="I32" s="32"/>
    </row>
    <row r="33" spans="1:9" ht="17" thickBot="1" x14ac:dyDescent="0.25">
      <c r="A33" s="24"/>
      <c r="B33" s="25" t="s">
        <v>37</v>
      </c>
      <c r="C33" s="24"/>
      <c r="D33" s="24"/>
      <c r="E33" s="26"/>
      <c r="F33" s="27"/>
      <c r="G33" s="27"/>
      <c r="H33" s="28"/>
      <c r="I33" s="28"/>
    </row>
    <row r="34" spans="1:9" ht="17" thickBot="1" x14ac:dyDescent="0.25">
      <c r="A34" s="29">
        <f>A32+1</f>
        <v>27</v>
      </c>
      <c r="B34" s="30" t="s">
        <v>38</v>
      </c>
      <c r="C34" s="29"/>
      <c r="D34" s="29"/>
      <c r="E34" s="31">
        <v>1</v>
      </c>
      <c r="F34" s="32">
        <v>45856</v>
      </c>
      <c r="G34" s="29"/>
      <c r="H34" s="32">
        <f>F34</f>
        <v>45856</v>
      </c>
      <c r="I34" s="32"/>
    </row>
    <row r="35" spans="1:9" ht="17" thickBot="1" x14ac:dyDescent="0.25">
      <c r="A35" s="29">
        <f>A34+1</f>
        <v>28</v>
      </c>
      <c r="B35" s="30" t="s">
        <v>39</v>
      </c>
      <c r="C35" s="29"/>
      <c r="D35" s="29">
        <f>A34</f>
        <v>27</v>
      </c>
      <c r="E35" s="31">
        <v>0</v>
      </c>
      <c r="F35" s="32"/>
      <c r="G35" s="29"/>
      <c r="H35" s="32"/>
      <c r="I35" s="32"/>
    </row>
    <row r="36" spans="1:9" ht="17" thickBot="1" x14ac:dyDescent="0.25">
      <c r="A36" s="29">
        <f>A35+1</f>
        <v>29</v>
      </c>
      <c r="B36" s="30" t="s">
        <v>40</v>
      </c>
      <c r="C36" s="29"/>
      <c r="D36" s="29">
        <f>A15</f>
        <v>11</v>
      </c>
      <c r="E36" s="31">
        <v>0</v>
      </c>
      <c r="F36" s="32">
        <v>45894</v>
      </c>
      <c r="G36" s="29"/>
      <c r="H36" s="32">
        <f>F36+12</f>
        <v>45906</v>
      </c>
      <c r="I36" s="32"/>
    </row>
    <row r="37" spans="1:9" ht="17" thickBot="1" x14ac:dyDescent="0.25">
      <c r="A37" s="29">
        <f>A36+1</f>
        <v>30</v>
      </c>
      <c r="B37" s="30" t="s">
        <v>41</v>
      </c>
      <c r="C37" s="29"/>
      <c r="D37" s="29"/>
      <c r="E37" s="31">
        <v>1</v>
      </c>
      <c r="F37" s="32">
        <v>45915</v>
      </c>
      <c r="G37" s="29">
        <v>0</v>
      </c>
      <c r="H37" s="32">
        <f>F37</f>
        <v>45915</v>
      </c>
      <c r="I37" s="32"/>
    </row>
    <row r="38" spans="1:9" ht="17" thickBot="1" x14ac:dyDescent="0.25">
      <c r="A38" s="24"/>
      <c r="B38" s="25" t="s">
        <v>42</v>
      </c>
      <c r="C38" s="24"/>
      <c r="D38" s="24"/>
      <c r="E38" s="26"/>
      <c r="F38" s="27"/>
      <c r="G38" s="27"/>
      <c r="H38" s="28"/>
      <c r="I38" s="28"/>
    </row>
    <row r="39" spans="1:9" ht="17" thickBot="1" x14ac:dyDescent="0.25">
      <c r="A39" s="29">
        <f>A37+1</f>
        <v>31</v>
      </c>
      <c r="B39" s="30" t="s">
        <v>43</v>
      </c>
      <c r="C39" s="29"/>
      <c r="D39" s="29"/>
      <c r="E39" s="31">
        <v>1</v>
      </c>
      <c r="F39" s="32">
        <v>45809</v>
      </c>
      <c r="G39" s="29"/>
      <c r="H39" s="32">
        <f>F39</f>
        <v>45809</v>
      </c>
      <c r="I39" s="32"/>
    </row>
    <row r="40" spans="1:9" ht="17" thickBot="1" x14ac:dyDescent="0.25">
      <c r="A40" s="29">
        <f>A39+1</f>
        <v>32</v>
      </c>
      <c r="B40" s="30" t="s">
        <v>44</v>
      </c>
      <c r="C40" s="29"/>
      <c r="D40" s="29">
        <f>A39</f>
        <v>31</v>
      </c>
      <c r="E40" s="31"/>
      <c r="F40" s="32">
        <f>H39+2</f>
        <v>45811</v>
      </c>
      <c r="G40" s="29"/>
      <c r="H40" s="32">
        <f>F40+30</f>
        <v>45841</v>
      </c>
      <c r="I40" s="32"/>
    </row>
    <row r="41" spans="1:9" ht="17" thickBot="1" x14ac:dyDescent="0.25">
      <c r="A41" s="29">
        <f>A40+1</f>
        <v>33</v>
      </c>
      <c r="B41" s="30" t="s">
        <v>45</v>
      </c>
      <c r="C41" s="29"/>
      <c r="D41" s="29">
        <v>21</v>
      </c>
      <c r="E41" s="31"/>
      <c r="F41" s="32">
        <v>45894</v>
      </c>
      <c r="G41" s="29"/>
      <c r="H41" s="32">
        <f>F41+4</f>
        <v>45898</v>
      </c>
      <c r="I41" s="32"/>
    </row>
    <row r="42" spans="1:9" ht="17" thickBot="1" x14ac:dyDescent="0.25">
      <c r="A42" s="29">
        <f>A41+1</f>
        <v>34</v>
      </c>
      <c r="B42" s="30" t="s">
        <v>46</v>
      </c>
      <c r="C42" s="29"/>
      <c r="D42" s="29"/>
      <c r="E42" s="31">
        <v>1</v>
      </c>
      <c r="F42" s="32">
        <v>45901</v>
      </c>
      <c r="G42" s="29">
        <v>0</v>
      </c>
      <c r="H42" s="32">
        <f>F42</f>
        <v>45901</v>
      </c>
      <c r="I42" s="32"/>
    </row>
    <row r="43" spans="1:9" ht="17" thickBot="1" x14ac:dyDescent="0.25">
      <c r="A43" s="24"/>
      <c r="B43" s="25" t="s">
        <v>47</v>
      </c>
      <c r="C43" s="24"/>
      <c r="D43" s="24"/>
      <c r="E43" s="26"/>
      <c r="F43" s="27"/>
      <c r="G43" s="27"/>
      <c r="H43" s="28"/>
      <c r="I43" s="28"/>
    </row>
    <row r="44" spans="1:9" ht="17" thickBot="1" x14ac:dyDescent="0.25">
      <c r="A44" s="29">
        <f>A42+1</f>
        <v>35</v>
      </c>
      <c r="B44" s="30" t="s">
        <v>48</v>
      </c>
      <c r="C44" s="29"/>
      <c r="D44" s="29"/>
      <c r="E44" s="31">
        <v>1</v>
      </c>
      <c r="F44" s="32">
        <v>45868</v>
      </c>
      <c r="G44" s="29"/>
      <c r="H44" s="32">
        <f>F44</f>
        <v>45868</v>
      </c>
      <c r="I44" s="32"/>
    </row>
    <row r="45" spans="1:9" ht="17" thickBot="1" x14ac:dyDescent="0.25">
      <c r="A45" s="29">
        <f>A44+1</f>
        <v>36</v>
      </c>
      <c r="B45" s="30" t="s">
        <v>49</v>
      </c>
      <c r="C45" s="29"/>
      <c r="D45" s="29">
        <f>A44</f>
        <v>35</v>
      </c>
      <c r="E45" s="31"/>
      <c r="F45" s="32">
        <v>45894</v>
      </c>
      <c r="G45" s="29"/>
      <c r="H45" s="32">
        <f>F45+4</f>
        <v>45898</v>
      </c>
      <c r="I45" s="32"/>
    </row>
    <row r="46" spans="1:9" ht="17" thickBot="1" x14ac:dyDescent="0.25">
      <c r="A46" s="29">
        <f>A45+1</f>
        <v>37</v>
      </c>
      <c r="B46" s="30" t="s">
        <v>50</v>
      </c>
      <c r="C46" s="29"/>
      <c r="D46" s="29">
        <f>A10</f>
        <v>6</v>
      </c>
      <c r="E46" s="31"/>
      <c r="F46" s="32">
        <f>H45</f>
        <v>45898</v>
      </c>
      <c r="G46" s="29"/>
      <c r="H46" s="32">
        <v>45903</v>
      </c>
      <c r="I46" s="32"/>
    </row>
    <row r="47" spans="1:9" ht="17" thickBot="1" x14ac:dyDescent="0.25">
      <c r="A47" s="29">
        <f>A46+1</f>
        <v>38</v>
      </c>
      <c r="B47" s="30" t="s">
        <v>51</v>
      </c>
      <c r="C47" s="29"/>
      <c r="D47" s="29"/>
      <c r="E47" s="31">
        <v>1</v>
      </c>
      <c r="F47" s="32">
        <v>45905</v>
      </c>
      <c r="G47" s="29">
        <v>0</v>
      </c>
      <c r="H47" s="32">
        <f>F47</f>
        <v>45905</v>
      </c>
      <c r="I47" s="32"/>
    </row>
    <row r="48" spans="1:9" ht="17" thickBot="1" x14ac:dyDescent="0.25">
      <c r="A48" s="24"/>
      <c r="B48" s="25" t="s">
        <v>52</v>
      </c>
      <c r="C48" s="24"/>
      <c r="D48" s="24"/>
      <c r="E48" s="26"/>
      <c r="F48" s="27"/>
      <c r="G48" s="27"/>
      <c r="H48" s="28"/>
      <c r="I48" s="28"/>
    </row>
    <row r="49" spans="1:9" ht="17" thickBot="1" x14ac:dyDescent="0.25">
      <c r="A49" s="29">
        <f>A47+1</f>
        <v>39</v>
      </c>
      <c r="B49" s="30" t="s">
        <v>53</v>
      </c>
      <c r="C49" s="29"/>
      <c r="D49" s="29"/>
      <c r="E49" s="31">
        <v>1</v>
      </c>
      <c r="F49" s="32">
        <v>45835</v>
      </c>
      <c r="G49" s="29"/>
      <c r="H49" s="32">
        <f>F49</f>
        <v>45835</v>
      </c>
      <c r="I49" s="32"/>
    </row>
    <row r="50" spans="1:9" ht="17" thickBot="1" x14ac:dyDescent="0.25">
      <c r="A50" s="29">
        <f>A49+1</f>
        <v>40</v>
      </c>
      <c r="B50" s="30" t="s">
        <v>54</v>
      </c>
      <c r="C50" s="29"/>
      <c r="D50" s="29">
        <f>A49</f>
        <v>39</v>
      </c>
      <c r="E50" s="31"/>
      <c r="F50" s="32">
        <v>45838</v>
      </c>
      <c r="G50" s="29"/>
      <c r="H50" s="32">
        <v>45842</v>
      </c>
      <c r="I50" s="32"/>
    </row>
    <row r="51" spans="1:9" ht="17" thickBot="1" x14ac:dyDescent="0.25">
      <c r="A51" s="29">
        <f>A50+1</f>
        <v>41</v>
      </c>
      <c r="B51" s="30" t="s">
        <v>55</v>
      </c>
      <c r="C51" s="29"/>
      <c r="D51" s="29">
        <f>A11</f>
        <v>7</v>
      </c>
      <c r="E51" s="31"/>
      <c r="F51" s="32">
        <v>45908</v>
      </c>
      <c r="G51" s="29"/>
      <c r="H51" s="32">
        <f>F51+4</f>
        <v>45912</v>
      </c>
      <c r="I51" s="32"/>
    </row>
    <row r="52" spans="1:9" ht="17" thickBot="1" x14ac:dyDescent="0.25">
      <c r="A52" s="29">
        <f>A51+1</f>
        <v>42</v>
      </c>
      <c r="B52" s="30" t="s">
        <v>56</v>
      </c>
      <c r="C52" s="29"/>
      <c r="D52" s="29">
        <f>A51</f>
        <v>41</v>
      </c>
      <c r="E52" s="31">
        <v>1</v>
      </c>
      <c r="F52" s="32">
        <v>45922</v>
      </c>
      <c r="G52" s="29">
        <v>0</v>
      </c>
      <c r="H52" s="32">
        <v>45922</v>
      </c>
      <c r="I52" s="32"/>
    </row>
    <row r="53" spans="1:9" ht="17" thickBot="1" x14ac:dyDescent="0.25">
      <c r="A53" s="29">
        <f t="shared" ref="A53:A56" si="1">A52+1</f>
        <v>43</v>
      </c>
      <c r="B53" s="30" t="s">
        <v>57</v>
      </c>
      <c r="C53" s="29"/>
      <c r="D53" s="29"/>
      <c r="E53" s="31"/>
      <c r="F53" s="33"/>
      <c r="G53" s="34"/>
      <c r="H53" s="33"/>
      <c r="I53" s="32"/>
    </row>
    <row r="54" spans="1:9" ht="17" thickBot="1" x14ac:dyDescent="0.25">
      <c r="A54" s="29">
        <f t="shared" si="1"/>
        <v>44</v>
      </c>
      <c r="B54" s="30" t="s">
        <v>58</v>
      </c>
      <c r="C54" s="29"/>
      <c r="D54" s="29">
        <f>A53</f>
        <v>43</v>
      </c>
      <c r="E54" s="31"/>
      <c r="F54" s="33"/>
      <c r="G54" s="34"/>
      <c r="H54" s="33"/>
      <c r="I54" s="32"/>
    </row>
    <row r="55" spans="1:9" ht="17" thickBot="1" x14ac:dyDescent="0.25">
      <c r="A55" s="29">
        <f t="shared" si="1"/>
        <v>45</v>
      </c>
      <c r="B55" s="30" t="s">
        <v>59</v>
      </c>
      <c r="C55" s="29"/>
      <c r="D55" s="29">
        <f>A11</f>
        <v>7</v>
      </c>
      <c r="E55" s="31"/>
      <c r="F55" s="32">
        <v>45908</v>
      </c>
      <c r="G55" s="29"/>
      <c r="H55" s="32">
        <f>F55+4</f>
        <v>45912</v>
      </c>
      <c r="I55" s="32"/>
    </row>
    <row r="56" spans="1:9" ht="17" thickBot="1" x14ac:dyDescent="0.25">
      <c r="A56" s="29">
        <f t="shared" si="1"/>
        <v>46</v>
      </c>
      <c r="B56" s="30" t="s">
        <v>60</v>
      </c>
      <c r="C56" s="29"/>
      <c r="D56" s="29">
        <f>A55</f>
        <v>45</v>
      </c>
      <c r="E56" s="31">
        <v>1</v>
      </c>
      <c r="F56" s="32">
        <v>45922</v>
      </c>
      <c r="G56" s="29">
        <v>0</v>
      </c>
      <c r="H56" s="32">
        <v>45922</v>
      </c>
      <c r="I56" s="32"/>
    </row>
    <row r="57" spans="1:9" ht="17" thickBot="1" x14ac:dyDescent="0.25">
      <c r="A57" s="24"/>
      <c r="B57" s="25" t="s">
        <v>61</v>
      </c>
      <c r="C57" s="24"/>
      <c r="D57" s="24"/>
      <c r="E57" s="26"/>
      <c r="F57" s="27"/>
      <c r="G57" s="27"/>
      <c r="H57" s="28"/>
      <c r="I57" s="28"/>
    </row>
    <row r="58" spans="1:9" ht="17" thickBot="1" x14ac:dyDescent="0.25">
      <c r="A58" s="29">
        <f>A56+1</f>
        <v>47</v>
      </c>
      <c r="B58" s="30" t="s">
        <v>62</v>
      </c>
      <c r="C58" s="29"/>
      <c r="D58" s="29"/>
      <c r="E58" s="31">
        <v>1</v>
      </c>
      <c r="F58" s="32"/>
      <c r="G58" s="29"/>
      <c r="H58" s="32"/>
      <c r="I58" s="32"/>
    </row>
    <row r="59" spans="1:9" ht="17" thickBot="1" x14ac:dyDescent="0.25">
      <c r="A59" s="29">
        <f>A58+1</f>
        <v>48</v>
      </c>
      <c r="B59" s="30" t="s">
        <v>63</v>
      </c>
      <c r="C59" s="29"/>
      <c r="D59" s="29"/>
      <c r="E59" s="31"/>
      <c r="F59" s="32"/>
      <c r="G59" s="29"/>
      <c r="H59" s="32"/>
      <c r="I59" s="32"/>
    </row>
    <row r="60" spans="1:9" ht="17" thickBot="1" x14ac:dyDescent="0.25">
      <c r="A60" s="29">
        <f>A59+1</f>
        <v>49</v>
      </c>
      <c r="B60" s="30" t="s">
        <v>64</v>
      </c>
      <c r="C60" s="29"/>
      <c r="D60" s="29">
        <f>A11</f>
        <v>7</v>
      </c>
      <c r="E60" s="31"/>
      <c r="F60" s="32">
        <v>45908</v>
      </c>
      <c r="G60" s="29"/>
      <c r="H60" s="32">
        <f>F60+4</f>
        <v>45912</v>
      </c>
      <c r="I60" s="32"/>
    </row>
    <row r="61" spans="1:9" ht="17" thickBot="1" x14ac:dyDescent="0.25">
      <c r="A61" s="29">
        <f>A60+1</f>
        <v>50</v>
      </c>
      <c r="B61" s="30" t="s">
        <v>65</v>
      </c>
      <c r="C61" s="29"/>
      <c r="D61" s="29">
        <f>A60</f>
        <v>49</v>
      </c>
      <c r="E61" s="31">
        <v>1</v>
      </c>
      <c r="F61" s="33"/>
      <c r="G61" s="34">
        <v>0</v>
      </c>
      <c r="H61" s="33"/>
      <c r="I61" s="32"/>
    </row>
    <row r="62" spans="1:9" ht="17" thickBot="1" x14ac:dyDescent="0.25">
      <c r="A62" s="24"/>
      <c r="B62" s="25" t="s">
        <v>66</v>
      </c>
      <c r="C62" s="24"/>
      <c r="D62" s="24"/>
      <c r="E62" s="26"/>
      <c r="F62" s="27"/>
      <c r="G62" s="27"/>
      <c r="H62" s="28"/>
      <c r="I62" s="28"/>
    </row>
    <row r="63" spans="1:9" ht="17" thickBot="1" x14ac:dyDescent="0.25">
      <c r="A63" s="29">
        <f>A61+1</f>
        <v>51</v>
      </c>
      <c r="B63" s="30" t="s">
        <v>67</v>
      </c>
      <c r="C63" s="29"/>
      <c r="D63" s="29"/>
      <c r="E63" s="31">
        <v>1</v>
      </c>
      <c r="F63" s="32">
        <v>45849</v>
      </c>
      <c r="G63" s="29"/>
      <c r="H63" s="32">
        <f>F63</f>
        <v>45849</v>
      </c>
      <c r="I63" s="32"/>
    </row>
    <row r="64" spans="1:9" ht="17" thickBot="1" x14ac:dyDescent="0.25">
      <c r="A64" s="29">
        <f>A63+1</f>
        <v>52</v>
      </c>
      <c r="B64" s="30" t="s">
        <v>68</v>
      </c>
      <c r="C64" s="29"/>
      <c r="D64" s="29">
        <f>A63</f>
        <v>51</v>
      </c>
      <c r="E64" s="31"/>
      <c r="F64" s="32">
        <v>45853</v>
      </c>
      <c r="G64" s="29"/>
      <c r="H64" s="32">
        <f>F64+3</f>
        <v>45856</v>
      </c>
      <c r="I64" s="32"/>
    </row>
    <row r="65" spans="1:9" ht="17" thickBot="1" x14ac:dyDescent="0.25">
      <c r="A65" s="29">
        <f>A64+1</f>
        <v>53</v>
      </c>
      <c r="B65" s="30" t="s">
        <v>69</v>
      </c>
      <c r="C65" s="29"/>
      <c r="D65" s="29">
        <f>A16</f>
        <v>12</v>
      </c>
      <c r="E65" s="31"/>
      <c r="F65" s="33"/>
      <c r="G65" s="34"/>
      <c r="H65" s="33"/>
      <c r="I65" s="32"/>
    </row>
    <row r="66" spans="1:9" ht="17" thickBot="1" x14ac:dyDescent="0.25">
      <c r="A66" s="29">
        <f>A65+1</f>
        <v>54</v>
      </c>
      <c r="B66" s="30" t="s">
        <v>70</v>
      </c>
      <c r="C66" s="29"/>
      <c r="D66" s="29"/>
      <c r="E66" s="31">
        <v>1</v>
      </c>
      <c r="F66" s="35">
        <v>45853</v>
      </c>
      <c r="G66" s="36">
        <v>0</v>
      </c>
      <c r="H66" s="35">
        <f>F66</f>
        <v>45853</v>
      </c>
      <c r="I66" s="32"/>
    </row>
    <row r="67" spans="1:9" ht="17" thickBot="1" x14ac:dyDescent="0.25">
      <c r="A67" s="29">
        <f t="shared" ref="A67:A78" si="2">A66+1</f>
        <v>55</v>
      </c>
      <c r="B67" s="30" t="s">
        <v>71</v>
      </c>
      <c r="C67" s="29"/>
      <c r="D67" s="29"/>
      <c r="E67" s="31">
        <v>1</v>
      </c>
      <c r="F67" s="32">
        <f>F63</f>
        <v>45849</v>
      </c>
      <c r="G67" s="29"/>
      <c r="H67" s="32">
        <f>F67</f>
        <v>45849</v>
      </c>
      <c r="I67" s="32"/>
    </row>
    <row r="68" spans="1:9" ht="17" thickBot="1" x14ac:dyDescent="0.25">
      <c r="A68" s="29">
        <f t="shared" si="2"/>
        <v>56</v>
      </c>
      <c r="B68" s="30" t="s">
        <v>72</v>
      </c>
      <c r="C68" s="29"/>
      <c r="D68" s="29">
        <f>A67</f>
        <v>55</v>
      </c>
      <c r="E68" s="31"/>
      <c r="F68" s="32">
        <v>45853</v>
      </c>
      <c r="G68" s="29"/>
      <c r="H68" s="32">
        <f>F68+4</f>
        <v>45857</v>
      </c>
      <c r="I68" s="32"/>
    </row>
    <row r="69" spans="1:9" ht="17" thickBot="1" x14ac:dyDescent="0.25">
      <c r="A69" s="29">
        <f t="shared" si="2"/>
        <v>57</v>
      </c>
      <c r="B69" s="30" t="s">
        <v>73</v>
      </c>
      <c r="C69" s="29"/>
      <c r="D69" s="29">
        <f>A12</f>
        <v>8</v>
      </c>
      <c r="E69" s="31"/>
      <c r="F69" s="32">
        <v>45888</v>
      </c>
      <c r="G69" s="29"/>
      <c r="H69" s="32">
        <f>F69+3</f>
        <v>45891</v>
      </c>
      <c r="I69" s="32"/>
    </row>
    <row r="70" spans="1:9" ht="17" thickBot="1" x14ac:dyDescent="0.25">
      <c r="A70" s="29">
        <f t="shared" si="2"/>
        <v>58</v>
      </c>
      <c r="B70" s="30" t="s">
        <v>74</v>
      </c>
      <c r="C70" s="29"/>
      <c r="D70" s="29"/>
      <c r="E70" s="31">
        <v>1</v>
      </c>
      <c r="F70" s="32">
        <v>45901</v>
      </c>
      <c r="G70" s="29"/>
      <c r="H70" s="32">
        <f>F70</f>
        <v>45901</v>
      </c>
      <c r="I70" s="32"/>
    </row>
    <row r="71" spans="1:9" ht="17" thickBot="1" x14ac:dyDescent="0.25">
      <c r="A71" s="29">
        <f t="shared" si="2"/>
        <v>59</v>
      </c>
      <c r="B71" s="30" t="s">
        <v>75</v>
      </c>
      <c r="C71" s="29"/>
      <c r="D71" s="29"/>
      <c r="E71" s="31">
        <v>1</v>
      </c>
      <c r="F71" s="32">
        <v>45849</v>
      </c>
      <c r="G71" s="29"/>
      <c r="H71" s="32">
        <f>F71</f>
        <v>45849</v>
      </c>
      <c r="I71" s="32"/>
    </row>
    <row r="72" spans="1:9" ht="17" thickBot="1" x14ac:dyDescent="0.25">
      <c r="A72" s="29">
        <f t="shared" si="2"/>
        <v>60</v>
      </c>
      <c r="B72" s="30" t="s">
        <v>76</v>
      </c>
      <c r="C72" s="29"/>
      <c r="D72" s="29">
        <f>A71</f>
        <v>59</v>
      </c>
      <c r="E72" s="31"/>
      <c r="F72" s="35">
        <v>45853</v>
      </c>
      <c r="G72" s="36"/>
      <c r="H72" s="35">
        <f>F72</f>
        <v>45853</v>
      </c>
      <c r="I72" s="32"/>
    </row>
    <row r="73" spans="1:9" ht="17" thickBot="1" x14ac:dyDescent="0.25">
      <c r="A73" s="29">
        <f t="shared" si="2"/>
        <v>61</v>
      </c>
      <c r="B73" s="30" t="s">
        <v>77</v>
      </c>
      <c r="C73" s="29"/>
      <c r="D73" s="29">
        <f>A16</f>
        <v>12</v>
      </c>
      <c r="E73" s="31"/>
      <c r="F73" s="32">
        <v>45888</v>
      </c>
      <c r="G73" s="29"/>
      <c r="H73" s="32">
        <v>45891</v>
      </c>
      <c r="I73" s="32"/>
    </row>
    <row r="74" spans="1:9" ht="17" thickBot="1" x14ac:dyDescent="0.25">
      <c r="A74" s="29">
        <f t="shared" si="2"/>
        <v>62</v>
      </c>
      <c r="B74" s="30" t="s">
        <v>78</v>
      </c>
      <c r="C74" s="29"/>
      <c r="D74" s="29"/>
      <c r="E74" s="31">
        <v>1</v>
      </c>
      <c r="F74" s="32">
        <v>45901</v>
      </c>
      <c r="G74" s="29"/>
      <c r="H74" s="32">
        <f>F74</f>
        <v>45901</v>
      </c>
      <c r="I74" s="32"/>
    </row>
    <row r="75" spans="1:9" ht="17" thickBot="1" x14ac:dyDescent="0.25">
      <c r="A75" s="29">
        <f t="shared" si="2"/>
        <v>63</v>
      </c>
      <c r="B75" s="30" t="s">
        <v>79</v>
      </c>
      <c r="C75" s="29"/>
      <c r="D75" s="29"/>
      <c r="E75" s="31">
        <v>1</v>
      </c>
      <c r="F75" s="32">
        <v>45849</v>
      </c>
      <c r="G75" s="29"/>
      <c r="H75" s="32">
        <f>F75</f>
        <v>45849</v>
      </c>
      <c r="I75" s="32"/>
    </row>
    <row r="76" spans="1:9" ht="17" thickBot="1" x14ac:dyDescent="0.25">
      <c r="A76" s="29">
        <f t="shared" si="2"/>
        <v>64</v>
      </c>
      <c r="B76" s="30" t="s">
        <v>80</v>
      </c>
      <c r="C76" s="29"/>
      <c r="D76" s="29">
        <f>A75</f>
        <v>63</v>
      </c>
      <c r="E76" s="31"/>
      <c r="F76" s="35">
        <v>45853</v>
      </c>
      <c r="G76" s="36"/>
      <c r="H76" s="35">
        <f>F76</f>
        <v>45853</v>
      </c>
      <c r="I76" s="32"/>
    </row>
    <row r="77" spans="1:9" ht="17" thickBot="1" x14ac:dyDescent="0.25">
      <c r="A77" s="29">
        <f t="shared" si="2"/>
        <v>65</v>
      </c>
      <c r="B77" s="30" t="s">
        <v>81</v>
      </c>
      <c r="C77" s="29"/>
      <c r="D77" s="29">
        <f>A12</f>
        <v>8</v>
      </c>
      <c r="E77" s="31"/>
      <c r="F77" s="32">
        <v>45888</v>
      </c>
      <c r="G77" s="29"/>
      <c r="H77" s="32">
        <f>F77+3</f>
        <v>45891</v>
      </c>
      <c r="I77" s="32"/>
    </row>
    <row r="78" spans="1:9" ht="17" thickBot="1" x14ac:dyDescent="0.25">
      <c r="A78" s="29">
        <f t="shared" si="2"/>
        <v>66</v>
      </c>
      <c r="B78" s="30" t="s">
        <v>82</v>
      </c>
      <c r="C78" s="29"/>
      <c r="D78" s="29"/>
      <c r="E78" s="31">
        <v>1</v>
      </c>
      <c r="F78" s="32">
        <v>45901</v>
      </c>
      <c r="G78" s="29"/>
      <c r="H78" s="32">
        <f>F78</f>
        <v>45901</v>
      </c>
      <c r="I78" s="32"/>
    </row>
    <row r="79" spans="1:9" ht="17" thickBot="1" x14ac:dyDescent="0.25">
      <c r="A79" s="24"/>
      <c r="B79" s="25" t="s">
        <v>83</v>
      </c>
      <c r="C79" s="24"/>
      <c r="D79" s="24"/>
      <c r="E79" s="26"/>
      <c r="F79" s="27"/>
      <c r="G79" s="27"/>
      <c r="H79" s="28"/>
      <c r="I79" s="28"/>
    </row>
    <row r="80" spans="1:9" ht="17" thickBot="1" x14ac:dyDescent="0.25">
      <c r="A80" s="29">
        <f>A78+1</f>
        <v>67</v>
      </c>
      <c r="B80" s="30" t="s">
        <v>84</v>
      </c>
      <c r="C80" s="29"/>
      <c r="D80" s="29"/>
      <c r="E80" s="31">
        <v>1</v>
      </c>
      <c r="F80" s="32">
        <v>45849</v>
      </c>
      <c r="G80" s="29"/>
      <c r="H80" s="32">
        <f>F80</f>
        <v>45849</v>
      </c>
      <c r="I80" s="32"/>
    </row>
    <row r="81" spans="1:9" ht="17" thickBot="1" x14ac:dyDescent="0.25">
      <c r="A81" s="29">
        <f>A80+1</f>
        <v>68</v>
      </c>
      <c r="B81" s="30" t="s">
        <v>85</v>
      </c>
      <c r="C81" s="29"/>
      <c r="D81" s="29">
        <f>A80</f>
        <v>67</v>
      </c>
      <c r="E81" s="31"/>
      <c r="F81" s="32">
        <v>45862</v>
      </c>
      <c r="G81" s="29"/>
      <c r="H81" s="32">
        <f>F81+1</f>
        <v>45863</v>
      </c>
      <c r="I81" s="32"/>
    </row>
    <row r="82" spans="1:9" ht="17" thickBot="1" x14ac:dyDescent="0.25">
      <c r="A82" s="29">
        <f>A81+1</f>
        <v>69</v>
      </c>
      <c r="B82" s="30" t="s">
        <v>86</v>
      </c>
      <c r="C82" s="29"/>
      <c r="D82" s="29">
        <f>A13</f>
        <v>9</v>
      </c>
      <c r="E82" s="31"/>
      <c r="F82" s="32">
        <v>45894</v>
      </c>
      <c r="G82" s="29"/>
      <c r="H82" s="32">
        <f>F82+1</f>
        <v>45895</v>
      </c>
      <c r="I82" s="32"/>
    </row>
    <row r="83" spans="1:9" ht="17" thickBot="1" x14ac:dyDescent="0.25">
      <c r="A83" s="29">
        <f>A82+1</f>
        <v>70</v>
      </c>
      <c r="B83" s="30" t="s">
        <v>87</v>
      </c>
      <c r="C83" s="29"/>
      <c r="D83" s="29"/>
      <c r="E83" s="31">
        <v>1</v>
      </c>
      <c r="F83" s="32">
        <v>45915</v>
      </c>
      <c r="G83" s="29"/>
      <c r="H83" s="32">
        <f>F83</f>
        <v>45915</v>
      </c>
      <c r="I83" s="32"/>
    </row>
    <row r="84" spans="1:9" ht="17" thickBot="1" x14ac:dyDescent="0.25">
      <c r="A84" s="29">
        <f t="shared" ref="A84:A87" si="3">A83+1</f>
        <v>71</v>
      </c>
      <c r="B84" s="30" t="s">
        <v>88</v>
      </c>
      <c r="C84" s="29"/>
      <c r="D84" s="29"/>
      <c r="E84" s="31">
        <v>1</v>
      </c>
      <c r="F84" s="32">
        <v>45849</v>
      </c>
      <c r="G84" s="29"/>
      <c r="H84" s="32">
        <f>F84</f>
        <v>45849</v>
      </c>
      <c r="I84" s="32"/>
    </row>
    <row r="85" spans="1:9" ht="17" thickBot="1" x14ac:dyDescent="0.25">
      <c r="A85" s="29">
        <f t="shared" si="3"/>
        <v>72</v>
      </c>
      <c r="B85" s="30" t="s">
        <v>89</v>
      </c>
      <c r="C85" s="29"/>
      <c r="D85" s="29">
        <f>A84</f>
        <v>71</v>
      </c>
      <c r="E85" s="31"/>
      <c r="F85" s="32">
        <v>45850</v>
      </c>
      <c r="G85" s="29"/>
      <c r="H85" s="32">
        <f>F85+3</f>
        <v>45853</v>
      </c>
      <c r="I85" s="32"/>
    </row>
    <row r="86" spans="1:9" ht="17" thickBot="1" x14ac:dyDescent="0.25">
      <c r="A86" s="29">
        <f t="shared" si="3"/>
        <v>73</v>
      </c>
      <c r="B86" s="30" t="s">
        <v>90</v>
      </c>
      <c r="C86" s="29"/>
      <c r="D86" s="29">
        <f>A16</f>
        <v>12</v>
      </c>
      <c r="E86" s="31"/>
      <c r="F86" s="33"/>
      <c r="G86" s="34"/>
      <c r="H86" s="33"/>
      <c r="I86" s="32"/>
    </row>
    <row r="87" spans="1:9" ht="17" thickBot="1" x14ac:dyDescent="0.25">
      <c r="A87" s="29">
        <f t="shared" si="3"/>
        <v>74</v>
      </c>
      <c r="B87" s="30" t="s">
        <v>91</v>
      </c>
      <c r="C87" s="29"/>
      <c r="D87" s="29"/>
      <c r="E87" s="31">
        <v>1</v>
      </c>
      <c r="F87" s="32">
        <v>45915</v>
      </c>
      <c r="G87" s="29"/>
      <c r="H87" s="32">
        <f>F87</f>
        <v>45915</v>
      </c>
      <c r="I87" s="32"/>
    </row>
    <row r="88" spans="1:9" ht="17" thickBot="1" x14ac:dyDescent="0.25">
      <c r="A88" s="24"/>
      <c r="B88" s="25" t="s">
        <v>92</v>
      </c>
      <c r="C88" s="24"/>
      <c r="D88" s="24"/>
      <c r="E88" s="26"/>
      <c r="F88" s="27"/>
      <c r="G88" s="27"/>
      <c r="H88" s="28"/>
      <c r="I88" s="28"/>
    </row>
    <row r="89" spans="1:9" ht="17" thickBot="1" x14ac:dyDescent="0.25">
      <c r="A89" s="29">
        <f>A87+1</f>
        <v>75</v>
      </c>
      <c r="B89" s="30" t="s">
        <v>93</v>
      </c>
      <c r="C89" s="29"/>
      <c r="D89" s="29"/>
      <c r="E89" s="31">
        <v>1</v>
      </c>
      <c r="F89" s="32">
        <v>45838</v>
      </c>
      <c r="G89" s="29"/>
      <c r="H89" s="32">
        <f>F89</f>
        <v>45838</v>
      </c>
      <c r="I89" s="32"/>
    </row>
    <row r="90" spans="1:9" ht="17" thickBot="1" x14ac:dyDescent="0.25">
      <c r="A90" s="29">
        <f>A89+1</f>
        <v>76</v>
      </c>
      <c r="B90" s="30" t="s">
        <v>94</v>
      </c>
      <c r="C90" s="29"/>
      <c r="D90" s="29">
        <f>A89</f>
        <v>75</v>
      </c>
      <c r="E90" s="31"/>
      <c r="F90" s="32">
        <v>45839</v>
      </c>
      <c r="G90" s="29"/>
      <c r="H90" s="32">
        <f>F90</f>
        <v>45839</v>
      </c>
      <c r="I90" s="32"/>
    </row>
    <row r="91" spans="1:9" ht="17" thickBot="1" x14ac:dyDescent="0.25">
      <c r="A91" s="29">
        <f>A90+1</f>
        <v>77</v>
      </c>
      <c r="B91" s="30" t="s">
        <v>95</v>
      </c>
      <c r="C91" s="29"/>
      <c r="D91" s="29">
        <f>A16</f>
        <v>12</v>
      </c>
      <c r="E91" s="31"/>
      <c r="F91" s="33"/>
      <c r="G91" s="34"/>
      <c r="H91" s="33"/>
      <c r="I91" s="32"/>
    </row>
    <row r="92" spans="1:9" ht="17" thickBot="1" x14ac:dyDescent="0.25">
      <c r="A92" s="29">
        <f>A91+1</f>
        <v>78</v>
      </c>
      <c r="B92" s="30" t="s">
        <v>96</v>
      </c>
      <c r="C92" s="29"/>
      <c r="D92" s="29"/>
      <c r="E92" s="31">
        <v>1</v>
      </c>
      <c r="F92" s="33"/>
      <c r="G92" s="34">
        <v>0</v>
      </c>
      <c r="H92" s="33"/>
      <c r="I92" s="32"/>
    </row>
    <row r="93" spans="1:9" ht="17" thickBot="1" x14ac:dyDescent="0.25">
      <c r="A93" s="24"/>
      <c r="B93" s="25" t="s">
        <v>97</v>
      </c>
      <c r="C93" s="24"/>
      <c r="D93" s="24"/>
      <c r="E93" s="26"/>
      <c r="F93" s="27"/>
      <c r="G93" s="27"/>
      <c r="H93" s="28"/>
      <c r="I93" s="28"/>
    </row>
    <row r="94" spans="1:9" ht="17" thickBot="1" x14ac:dyDescent="0.25">
      <c r="A94" s="29">
        <f>A92+1</f>
        <v>79</v>
      </c>
      <c r="B94" s="30" t="s">
        <v>98</v>
      </c>
      <c r="C94" s="29"/>
      <c r="D94" s="29">
        <f>A16</f>
        <v>12</v>
      </c>
      <c r="E94" s="31"/>
      <c r="F94" s="32">
        <v>45828</v>
      </c>
      <c r="G94" s="29"/>
      <c r="H94" s="32">
        <f>F94+1</f>
        <v>45829</v>
      </c>
      <c r="I94" s="32"/>
    </row>
    <row r="95" spans="1:9" ht="17" thickBot="1" x14ac:dyDescent="0.25">
      <c r="A95" s="29">
        <f>A94+1</f>
        <v>80</v>
      </c>
      <c r="B95" s="30" t="s">
        <v>99</v>
      </c>
      <c r="C95" s="29"/>
      <c r="D95" s="29"/>
      <c r="E95" s="31">
        <v>1</v>
      </c>
      <c r="F95" s="32">
        <v>45915</v>
      </c>
      <c r="G95" s="29"/>
      <c r="H95" s="32">
        <f>F95</f>
        <v>45915</v>
      </c>
      <c r="I95" s="32"/>
    </row>
    <row r="96" spans="1:9" ht="17" thickBot="1" x14ac:dyDescent="0.25">
      <c r="A96" s="24"/>
      <c r="B96" s="25" t="s">
        <v>100</v>
      </c>
      <c r="C96" s="24"/>
      <c r="D96" s="24"/>
      <c r="E96" s="26"/>
      <c r="F96" s="27"/>
      <c r="G96" s="27"/>
      <c r="H96" s="28"/>
      <c r="I96" s="28"/>
    </row>
    <row r="97" spans="1:9" ht="17" thickBot="1" x14ac:dyDescent="0.25">
      <c r="A97" s="29">
        <f>A95+1</f>
        <v>81</v>
      </c>
      <c r="B97" s="30" t="s">
        <v>101</v>
      </c>
      <c r="C97" s="29"/>
      <c r="D97" s="29"/>
      <c r="E97" s="31">
        <v>1</v>
      </c>
      <c r="F97" s="33"/>
      <c r="G97" s="34"/>
      <c r="H97" s="33"/>
      <c r="I97" s="32"/>
    </row>
    <row r="98" spans="1:9" ht="17" thickBot="1" x14ac:dyDescent="0.25">
      <c r="A98" s="29">
        <f>A97+1</f>
        <v>82</v>
      </c>
      <c r="B98" s="30" t="s">
        <v>102</v>
      </c>
      <c r="C98" s="29"/>
      <c r="D98" s="29">
        <f>A97</f>
        <v>81</v>
      </c>
      <c r="E98" s="31"/>
      <c r="F98" s="33"/>
      <c r="G98" s="34"/>
      <c r="H98" s="33"/>
      <c r="I98" s="32"/>
    </row>
    <row r="99" spans="1:9" ht="17" thickBot="1" x14ac:dyDescent="0.25">
      <c r="A99" s="29">
        <f>A98+1</f>
        <v>83</v>
      </c>
      <c r="B99" s="30" t="s">
        <v>103</v>
      </c>
      <c r="C99" s="29"/>
      <c r="D99" s="29">
        <f>A16</f>
        <v>12</v>
      </c>
      <c r="E99" s="31"/>
      <c r="F99" s="32">
        <v>45828</v>
      </c>
      <c r="G99" s="29"/>
      <c r="H99" s="32">
        <f>F99+2</f>
        <v>45830</v>
      </c>
      <c r="I99" s="32"/>
    </row>
    <row r="100" spans="1:9" ht="17" thickBot="1" x14ac:dyDescent="0.25">
      <c r="A100" s="29">
        <f>A99+1</f>
        <v>84</v>
      </c>
      <c r="B100" s="30" t="s">
        <v>104</v>
      </c>
      <c r="C100" s="29"/>
      <c r="D100" s="29"/>
      <c r="E100" s="31">
        <v>1</v>
      </c>
      <c r="F100" s="33"/>
      <c r="G100" s="34">
        <v>0</v>
      </c>
      <c r="H100" s="33"/>
      <c r="I100" s="32"/>
    </row>
    <row r="101" spans="1:9" ht="17" thickBot="1" x14ac:dyDescent="0.25">
      <c r="A101" s="29">
        <f t="shared" ref="A101:A104" si="4">A100+1</f>
        <v>85</v>
      </c>
      <c r="B101" s="30" t="s">
        <v>105</v>
      </c>
      <c r="C101" s="29"/>
      <c r="D101" s="29"/>
      <c r="E101" s="31">
        <v>1</v>
      </c>
      <c r="F101" s="33"/>
      <c r="G101" s="34"/>
      <c r="H101" s="33"/>
      <c r="I101" s="32"/>
    </row>
    <row r="102" spans="1:9" ht="17" thickBot="1" x14ac:dyDescent="0.25">
      <c r="A102" s="29">
        <f t="shared" si="4"/>
        <v>86</v>
      </c>
      <c r="B102" s="30" t="s">
        <v>106</v>
      </c>
      <c r="C102" s="29"/>
      <c r="D102" s="29">
        <f>A101</f>
        <v>85</v>
      </c>
      <c r="E102" s="31"/>
      <c r="F102" s="33"/>
      <c r="G102" s="34"/>
      <c r="H102" s="33"/>
      <c r="I102" s="32"/>
    </row>
    <row r="103" spans="1:9" ht="17" thickBot="1" x14ac:dyDescent="0.25">
      <c r="A103" s="29">
        <f t="shared" si="4"/>
        <v>87</v>
      </c>
      <c r="B103" s="30" t="s">
        <v>107</v>
      </c>
      <c r="C103" s="29"/>
      <c r="D103" s="29">
        <f>A15</f>
        <v>11</v>
      </c>
      <c r="E103" s="31"/>
      <c r="F103" s="33">
        <v>45886</v>
      </c>
      <c r="G103" s="34"/>
      <c r="H103" s="33">
        <f>F103+5</f>
        <v>45891</v>
      </c>
      <c r="I103" s="32"/>
    </row>
    <row r="104" spans="1:9" ht="17" thickBot="1" x14ac:dyDescent="0.25">
      <c r="A104" s="29">
        <f t="shared" si="4"/>
        <v>88</v>
      </c>
      <c r="B104" s="30" t="s">
        <v>108</v>
      </c>
      <c r="C104" s="29"/>
      <c r="D104" s="29"/>
      <c r="E104" s="31">
        <v>1</v>
      </c>
      <c r="F104" s="33"/>
      <c r="G104" s="34"/>
      <c r="H104" s="33"/>
      <c r="I104" s="32"/>
    </row>
    <row r="105" spans="1:9" ht="17" thickBot="1" x14ac:dyDescent="0.25">
      <c r="A105" s="24"/>
      <c r="B105" s="25" t="s">
        <v>109</v>
      </c>
      <c r="C105" s="24"/>
      <c r="D105" s="24"/>
      <c r="E105" s="26"/>
      <c r="F105" s="27"/>
      <c r="G105" s="27"/>
      <c r="H105" s="28"/>
      <c r="I105" s="28"/>
    </row>
    <row r="106" spans="1:9" ht="17" thickBot="1" x14ac:dyDescent="0.25">
      <c r="A106" s="29">
        <f>A104+1</f>
        <v>89</v>
      </c>
      <c r="B106" s="30" t="s">
        <v>110</v>
      </c>
      <c r="C106" s="29"/>
      <c r="D106" s="29"/>
      <c r="E106" s="31">
        <v>1</v>
      </c>
      <c r="F106" s="32">
        <v>45817</v>
      </c>
      <c r="G106" s="29"/>
      <c r="H106" s="32">
        <f>F106</f>
        <v>45817</v>
      </c>
      <c r="I106" s="32"/>
    </row>
    <row r="107" spans="1:9" ht="17" thickBot="1" x14ac:dyDescent="0.25">
      <c r="A107" s="29">
        <f>A106+1</f>
        <v>90</v>
      </c>
      <c r="B107" s="30" t="s">
        <v>111</v>
      </c>
      <c r="C107" s="29"/>
      <c r="D107" s="29">
        <f>A106</f>
        <v>89</v>
      </c>
      <c r="E107" s="31"/>
      <c r="F107" s="35">
        <v>45817</v>
      </c>
      <c r="G107" s="36"/>
      <c r="H107" s="35">
        <f>F107</f>
        <v>45817</v>
      </c>
      <c r="I107" s="32"/>
    </row>
    <row r="108" spans="1:9" ht="17" thickBot="1" x14ac:dyDescent="0.25">
      <c r="A108" s="29">
        <f>A107+1</f>
        <v>91</v>
      </c>
      <c r="B108" s="30" t="s">
        <v>112</v>
      </c>
      <c r="C108" s="29"/>
      <c r="D108" s="29">
        <f>A9</f>
        <v>5</v>
      </c>
      <c r="E108" s="31"/>
      <c r="F108" s="32">
        <v>45894</v>
      </c>
      <c r="G108" s="29"/>
      <c r="H108" s="32">
        <f>F108+4</f>
        <v>45898</v>
      </c>
      <c r="I108" s="32"/>
    </row>
    <row r="109" spans="1:9" ht="17" thickBot="1" x14ac:dyDescent="0.25">
      <c r="A109" s="29">
        <f>A108+1</f>
        <v>92</v>
      </c>
      <c r="B109" s="30" t="s">
        <v>113</v>
      </c>
      <c r="C109" s="29"/>
      <c r="D109" s="29"/>
      <c r="E109" s="31">
        <v>1</v>
      </c>
      <c r="F109" s="32">
        <v>45914</v>
      </c>
      <c r="G109" s="29">
        <v>0</v>
      </c>
      <c r="H109" s="32">
        <f>F109</f>
        <v>45914</v>
      </c>
      <c r="I109" s="32"/>
    </row>
    <row r="110" spans="1:9" ht="17" thickBot="1" x14ac:dyDescent="0.25">
      <c r="A110" s="24"/>
      <c r="B110" s="25" t="s">
        <v>114</v>
      </c>
      <c r="C110" s="24"/>
      <c r="D110" s="24"/>
      <c r="E110" s="26"/>
      <c r="F110" s="27"/>
      <c r="G110" s="27"/>
      <c r="H110" s="28"/>
      <c r="I110" s="28"/>
    </row>
    <row r="111" spans="1:9" ht="17" thickBot="1" x14ac:dyDescent="0.25">
      <c r="A111" s="29">
        <f>A109+1</f>
        <v>93</v>
      </c>
      <c r="B111" s="30" t="s">
        <v>115</v>
      </c>
      <c r="C111" s="29"/>
      <c r="D111" s="29"/>
      <c r="E111" s="31">
        <v>1</v>
      </c>
      <c r="F111" s="33"/>
      <c r="G111" s="34"/>
      <c r="H111" s="33"/>
      <c r="I111" s="32"/>
    </row>
    <row r="112" spans="1:9" ht="17" thickBot="1" x14ac:dyDescent="0.25">
      <c r="A112" s="29">
        <f>A111+1</f>
        <v>94</v>
      </c>
      <c r="B112" s="30" t="s">
        <v>116</v>
      </c>
      <c r="C112" s="29"/>
      <c r="D112" s="29">
        <f>A111</f>
        <v>93</v>
      </c>
      <c r="E112" s="31"/>
      <c r="F112" s="35"/>
      <c r="G112" s="36"/>
      <c r="H112" s="35"/>
      <c r="I112" s="32"/>
    </row>
    <row r="113" spans="1:9" ht="17" thickBot="1" x14ac:dyDescent="0.25">
      <c r="A113" s="29">
        <f>A112+1</f>
        <v>95</v>
      </c>
      <c r="B113" s="30" t="s">
        <v>117</v>
      </c>
      <c r="C113" s="29"/>
      <c r="D113" s="29">
        <f>A14</f>
        <v>10</v>
      </c>
      <c r="E113" s="31"/>
      <c r="F113" s="32">
        <v>45894</v>
      </c>
      <c r="G113" s="29"/>
      <c r="H113" s="32">
        <f>F113+4</f>
        <v>45898</v>
      </c>
      <c r="I113" s="32"/>
    </row>
    <row r="114" spans="1:9" ht="17" thickBot="1" x14ac:dyDescent="0.25">
      <c r="A114" s="29">
        <f>A113+1</f>
        <v>96</v>
      </c>
      <c r="B114" s="30" t="s">
        <v>118</v>
      </c>
      <c r="C114" s="29"/>
      <c r="D114" s="29"/>
      <c r="E114" s="31">
        <v>1</v>
      </c>
      <c r="F114" s="32">
        <v>45914</v>
      </c>
      <c r="G114" s="29">
        <v>0</v>
      </c>
      <c r="H114" s="32">
        <f>F114</f>
        <v>45914</v>
      </c>
      <c r="I114" s="32"/>
    </row>
  </sheetData>
  <conditionalFormatting sqref="E2:E114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{DCD202AF-03B9-5B43-BABD-D544D6E4DDEE}</x14:id>
        </ext>
      </extLst>
    </cfRule>
  </conditionalFormatting>
  <conditionalFormatting sqref="E2:I114">
    <cfRule type="expression" dxfId="0" priority="1">
      <formula>AND(L$5-7=$J2, ISNUMBER($J2))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D202AF-03B9-5B43-BABD-D544D6E4DD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E2:E114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Stoss</dc:creator>
  <cp:lastModifiedBy>Jeremy Stoss</cp:lastModifiedBy>
  <dcterms:created xsi:type="dcterms:W3CDTF">2025-05-02T10:26:26Z</dcterms:created>
  <dcterms:modified xsi:type="dcterms:W3CDTF">2025-05-02T10:27:02Z</dcterms:modified>
</cp:coreProperties>
</file>